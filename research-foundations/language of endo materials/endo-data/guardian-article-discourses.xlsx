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526"/>
  <workbookPr showInkAnnotation="0" autoCompressPictures="0"/>
  <bookViews>
    <workbookView xWindow="0" yWindow="0" windowWidth="25600" windowHeight="14900" tabRatio="500"/>
  </bookViews>
  <sheets>
    <sheet name="Sheet1" sheetId="1" r:id="rId1"/>
    <sheet name="Sheet2" sheetId="2" r:id="rId2"/>
  </sheets>
  <definedNames>
    <definedName name="_xlnm._FilterDatabase" localSheetId="0" hidden="1">Sheet1!$A$1:$B$30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2" i="2"/>
</calcChain>
</file>

<file path=xl/sharedStrings.xml><?xml version="1.0" encoding="utf-8"?>
<sst xmlns="http://schemas.openxmlformats.org/spreadsheetml/2006/main" count="70" uniqueCount="48">
  <si>
    <t>I'm 20 years old and I feel like I'm 90 </t>
  </si>
  <si>
    <t>I have had two miscarriages. The last one almost cost me my life</t>
  </si>
  <si>
    <t xml:space="preserve">Infertility </t>
  </si>
  <si>
    <t>Getting diagnosed is a battle in itself </t>
  </si>
  <si>
    <t>I wish endometriosis was taken more seriously</t>
  </si>
  <si>
    <t>Ignored/ overlooked</t>
  </si>
  <si>
    <t>I dread every period</t>
  </si>
  <si>
    <t>Pain</t>
  </si>
  <si>
    <t>Everyone asks when I'm going to get pregnant, but I don't know if I can even have kids</t>
  </si>
  <si>
    <t>Infertility</t>
  </si>
  <si>
    <t>I'm a gynaecologist and I didn't want to accept that I had it</t>
  </si>
  <si>
    <t>Denial</t>
  </si>
  <si>
    <t>It's treated like some shameful secret </t>
  </si>
  <si>
    <t>The pain is paralysing</t>
  </si>
  <si>
    <t>I hate this disease and the lack of information about it. I hate the fact it is invisible</t>
  </si>
  <si>
    <t>I accepted that I'd never lead a normal life</t>
  </si>
  <si>
    <t>Endometriosis is ruining my marriage</t>
  </si>
  <si>
    <t>Relationships</t>
  </si>
  <si>
    <t>I live in daily pain</t>
  </si>
  <si>
    <t>All of my pelvic organs were stuck together</t>
  </si>
  <si>
    <t> was told that it was normal, that periods hurt a lot </t>
  </si>
  <si>
    <t>I don't know when I will ever be able to be with someone</t>
  </si>
  <si>
    <t xml:space="preserve">Relationships  </t>
  </si>
  <si>
    <t>They told me it was all in my head</t>
  </si>
  <si>
    <t>I couldn't wear trousers because of the bloating and swelling</t>
  </si>
  <si>
    <t>Doctors could not figure out what was going on with my uterus</t>
  </si>
  <si>
    <t>I went wrongfully diagnosed for 10 years</t>
  </si>
  <si>
    <t>After my miscarriage, I was a mess</t>
  </si>
  <si>
    <t>I am in charge of my endo, it is not in charge of me</t>
  </si>
  <si>
    <t xml:space="preserve"> + in charge</t>
  </si>
  <si>
    <t>My mum is constantly travelling from Ireland to care for me</t>
  </si>
  <si>
    <t>I am so happy to have answers</t>
  </si>
  <si>
    <t>I had unbearable pain, so bad it made me vomit</t>
  </si>
  <si>
    <t>Doctors who know how to treat it are few and far between </t>
  </si>
  <si>
    <t>I'm lucky if I sleep four or five hours a night</t>
  </si>
  <si>
    <t>It's made me a different person</t>
  </si>
  <si>
    <t>This disease will make me infertile</t>
  </si>
  <si>
    <t>pain</t>
  </si>
  <si>
    <t xml:space="preserve">text </t>
  </si>
  <si>
    <t xml:space="preserve">discourse </t>
  </si>
  <si>
    <t>discourse</t>
  </si>
  <si>
    <t>occurrences</t>
  </si>
  <si>
    <t>infertility</t>
  </si>
  <si>
    <t>relationships</t>
  </si>
  <si>
    <t>denial</t>
  </si>
  <si>
    <t>in charge</t>
  </si>
  <si>
    <t>%</t>
  </si>
  <si>
    <t>https://www.theguardian.com/society/ng-interactive/2015/sep/27/the-pain-is-paralysing-30-women-describe-living-with-endometriosis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</si>
</sst>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33333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 applyBorder="1"/>
    <xf numFmtId="0" fontId="3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2" borderId="0" xfId="0" applyFont="1" applyFill="1" applyBorder="1"/>
    <xf numFmtId="9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D31" sqref="D31"/>
    </sheetView>
  </sheetViews>
  <sheetFormatPr baseColWidth="10" defaultRowHeight="15" x14ac:dyDescent="0"/>
  <cols>
    <col min="1" max="1" width="75.5" style="1" customWidth="1"/>
    <col min="2" max="2" width="32.33203125" style="1" customWidth="1"/>
  </cols>
  <sheetData>
    <row r="1" spans="1:2">
      <c r="A1" s="4" t="s">
        <v>38</v>
      </c>
      <c r="B1" s="4" t="s">
        <v>39</v>
      </c>
    </row>
    <row r="2" spans="1:2">
      <c r="A2" s="2" t="s">
        <v>0</v>
      </c>
      <c r="B2" s="3" t="s">
        <v>7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5</v>
      </c>
    </row>
    <row r="5" spans="1:2">
      <c r="A5" s="2" t="s">
        <v>4</v>
      </c>
      <c r="B5" s="3" t="s">
        <v>5</v>
      </c>
    </row>
    <row r="6" spans="1:2">
      <c r="A6" s="2" t="s">
        <v>6</v>
      </c>
      <c r="B6" s="3" t="s">
        <v>7</v>
      </c>
    </row>
    <row r="7" spans="1:2">
      <c r="A7" s="2" t="s">
        <v>8</v>
      </c>
      <c r="B7" s="3" t="s">
        <v>9</v>
      </c>
    </row>
    <row r="8" spans="1:2">
      <c r="A8" s="2" t="s">
        <v>10</v>
      </c>
      <c r="B8" s="3" t="s">
        <v>11</v>
      </c>
    </row>
    <row r="9" spans="1:2">
      <c r="A9" s="2" t="s">
        <v>12</v>
      </c>
      <c r="B9" s="3" t="s">
        <v>5</v>
      </c>
    </row>
    <row r="10" spans="1:2">
      <c r="A10" s="2" t="s">
        <v>13</v>
      </c>
      <c r="B10" s="3" t="s">
        <v>7</v>
      </c>
    </row>
    <row r="11" spans="1:2">
      <c r="A11" s="2" t="s">
        <v>14</v>
      </c>
      <c r="B11" s="3" t="s">
        <v>5</v>
      </c>
    </row>
    <row r="12" spans="1:2">
      <c r="A12" s="2" t="s">
        <v>15</v>
      </c>
      <c r="B12" s="3" t="s">
        <v>11</v>
      </c>
    </row>
    <row r="13" spans="1:2">
      <c r="A13" s="2" t="s">
        <v>16</v>
      </c>
      <c r="B13" s="3" t="s">
        <v>17</v>
      </c>
    </row>
    <row r="14" spans="1:2">
      <c r="A14" s="2" t="s">
        <v>18</v>
      </c>
      <c r="B14" s="3" t="s">
        <v>7</v>
      </c>
    </row>
    <row r="15" spans="1:2">
      <c r="A15" s="2" t="s">
        <v>19</v>
      </c>
      <c r="B15" s="3" t="s">
        <v>7</v>
      </c>
    </row>
    <row r="16" spans="1:2">
      <c r="A16" s="2" t="s">
        <v>20</v>
      </c>
      <c r="B16" s="3" t="s">
        <v>5</v>
      </c>
    </row>
    <row r="17" spans="1:2">
      <c r="A17" s="2" t="s">
        <v>21</v>
      </c>
      <c r="B17" s="3" t="s">
        <v>22</v>
      </c>
    </row>
    <row r="18" spans="1:2">
      <c r="A18" s="2" t="s">
        <v>23</v>
      </c>
      <c r="B18" s="3" t="s">
        <v>5</v>
      </c>
    </row>
    <row r="19" spans="1:2">
      <c r="A19" s="2" t="s">
        <v>24</v>
      </c>
      <c r="B19" s="3" t="s">
        <v>7</v>
      </c>
    </row>
    <row r="20" spans="1:2">
      <c r="A20" s="2" t="s">
        <v>25</v>
      </c>
      <c r="B20" s="3" t="s">
        <v>7</v>
      </c>
    </row>
    <row r="21" spans="1:2">
      <c r="A21" s="2" t="s">
        <v>26</v>
      </c>
      <c r="B21" s="3" t="s">
        <v>5</v>
      </c>
    </row>
    <row r="22" spans="1:2">
      <c r="A22" s="2" t="s">
        <v>27</v>
      </c>
      <c r="B22" s="3" t="s">
        <v>9</v>
      </c>
    </row>
    <row r="23" spans="1:2">
      <c r="A23" s="2" t="s">
        <v>28</v>
      </c>
      <c r="B23" s="3" t="s">
        <v>29</v>
      </c>
    </row>
    <row r="24" spans="1:2">
      <c r="A24" s="2" t="s">
        <v>30</v>
      </c>
      <c r="B24" s="3" t="s">
        <v>7</v>
      </c>
    </row>
    <row r="25" spans="1:2">
      <c r="A25" s="2" t="s">
        <v>31</v>
      </c>
      <c r="B25" s="3" t="s">
        <v>5</v>
      </c>
    </row>
    <row r="26" spans="1:2">
      <c r="A26" s="2" t="s">
        <v>32</v>
      </c>
      <c r="B26" s="3" t="s">
        <v>7</v>
      </c>
    </row>
    <row r="27" spans="1:2">
      <c r="A27" s="2" t="s">
        <v>33</v>
      </c>
      <c r="B27" s="3" t="s">
        <v>5</v>
      </c>
    </row>
    <row r="28" spans="1:2">
      <c r="A28" s="2" t="s">
        <v>34</v>
      </c>
      <c r="B28" s="3" t="s">
        <v>7</v>
      </c>
    </row>
    <row r="29" spans="1:2">
      <c r="A29" s="2" t="s">
        <v>35</v>
      </c>
      <c r="B29" s="3" t="s">
        <v>7</v>
      </c>
    </row>
    <row r="30" spans="1:2">
      <c r="A30" s="2" t="s">
        <v>36</v>
      </c>
      <c r="B30" s="3" t="s">
        <v>9</v>
      </c>
    </row>
    <row r="33" spans="1:1">
      <c r="A33" s="1" t="s">
        <v>47</v>
      </c>
    </row>
  </sheetData>
  <autoFilter ref="A1:B30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2" sqref="D12"/>
    </sheetView>
  </sheetViews>
  <sheetFormatPr baseColWidth="10" defaultRowHeight="15" x14ac:dyDescent="0"/>
  <cols>
    <col min="1" max="1" width="20.6640625" customWidth="1"/>
    <col min="3" max="3" width="10.83203125" style="5"/>
  </cols>
  <sheetData>
    <row r="1" spans="1:4">
      <c r="A1" t="s">
        <v>40</v>
      </c>
      <c r="B1" t="s">
        <v>41</v>
      </c>
      <c r="C1" s="5" t="s">
        <v>46</v>
      </c>
      <c r="D1">
        <v>29</v>
      </c>
    </row>
    <row r="2" spans="1:4">
      <c r="A2" t="s">
        <v>37</v>
      </c>
      <c r="B2">
        <v>11</v>
      </c>
      <c r="C2" s="5">
        <f>B2/$D$1</f>
        <v>0.37931034482758619</v>
      </c>
    </row>
    <row r="3" spans="1:4">
      <c r="A3" t="s">
        <v>42</v>
      </c>
      <c r="B3">
        <v>4</v>
      </c>
      <c r="C3" s="5">
        <f t="shared" ref="C3:C7" si="0">B3/$D$1</f>
        <v>0.13793103448275862</v>
      </c>
    </row>
    <row r="4" spans="1:4">
      <c r="A4" t="s">
        <v>5</v>
      </c>
      <c r="B4">
        <v>9</v>
      </c>
      <c r="C4" s="5">
        <f t="shared" si="0"/>
        <v>0.31034482758620691</v>
      </c>
    </row>
    <row r="5" spans="1:4">
      <c r="A5" t="s">
        <v>43</v>
      </c>
      <c r="B5">
        <v>2</v>
      </c>
      <c r="C5" s="5">
        <f t="shared" si="0"/>
        <v>6.8965517241379309E-2</v>
      </c>
    </row>
    <row r="6" spans="1:4">
      <c r="A6" t="s">
        <v>44</v>
      </c>
      <c r="B6">
        <v>2</v>
      </c>
      <c r="C6" s="5">
        <f t="shared" si="0"/>
        <v>6.8965517241379309E-2</v>
      </c>
    </row>
    <row r="7" spans="1:4">
      <c r="A7" t="s">
        <v>45</v>
      </c>
      <c r="B7">
        <v>1</v>
      </c>
      <c r="C7" s="5">
        <f t="shared" si="0"/>
        <v>3.4482758620689655E-2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MMU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Bullo</dc:creator>
  <cp:lastModifiedBy>Stella Bullo</cp:lastModifiedBy>
  <dcterms:created xsi:type="dcterms:W3CDTF">2016-09-29T16:19:24Z</dcterms:created>
  <dcterms:modified xsi:type="dcterms:W3CDTF">2017-02-22T12:58:40Z</dcterms:modified>
</cp:coreProperties>
</file>